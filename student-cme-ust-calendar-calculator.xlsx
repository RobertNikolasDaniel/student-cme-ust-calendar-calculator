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showInkAnnotation="0" autoCompressPictures="0"/>
  <xr:revisionPtr revIDLastSave="0" documentId="8_{87A52C01-7E2D-4797-8D7F-D7212BF21BD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lendar Calculator" sheetId="1" r:id="rId1"/>
    <sheet name="README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C15" i="1"/>
  <c r="C14" i="1"/>
  <c r="B26" i="1" s="1"/>
  <c r="B27" i="1" l="1"/>
  <c r="C16" i="1"/>
  <c r="B29" i="1" l="1"/>
  <c r="C17" i="1"/>
  <c r="B23" i="1" l="1"/>
  <c r="C18" i="1"/>
  <c r="B24" i="1" l="1"/>
  <c r="C20" i="1"/>
  <c r="B30" i="1" s="1"/>
  <c r="C19" i="1"/>
  <c r="B25" i="1" s="1"/>
</calcChain>
</file>

<file path=xl/sharedStrings.xml><?xml version="1.0" encoding="utf-8"?>
<sst xmlns="http://schemas.openxmlformats.org/spreadsheetml/2006/main" count="75" uniqueCount="66">
  <si>
    <t>student-cme-ust-calendar-calculator</t>
  </si>
  <si>
    <t>Simple student CME UST calendar fair value sheet. Updated to use CTD yield and repo as net carry.</t>
  </si>
  <si>
    <t>INPUTS</t>
  </si>
  <si>
    <t>notes</t>
  </si>
  <si>
    <t>front futures price</t>
  </si>
  <si>
    <t>front contract price, simplified decimal format</t>
  </si>
  <si>
    <t>repo / financing rate</t>
  </si>
  <si>
    <t>SOFR / repo assumption</t>
  </si>
  <si>
    <t>CTD yield</t>
  </si>
  <si>
    <t>yield assumption for the cheapest-to-deliver bond</t>
  </si>
  <si>
    <t>days between contracts</t>
  </si>
  <si>
    <t>calendar days between front and back references</t>
  </si>
  <si>
    <t>day count basis</t>
  </si>
  <si>
    <t>money-market style convention</t>
  </si>
  <si>
    <t>tick size</t>
  </si>
  <si>
    <t>1/64 = 0.015625</t>
  </si>
  <si>
    <t>ENGINE</t>
  </si>
  <si>
    <t>formula</t>
  </si>
  <si>
    <t>value</t>
  </si>
  <si>
    <t>plain english</t>
  </si>
  <si>
    <t>time fraction</t>
  </si>
  <si>
    <t>days / day count</t>
  </si>
  <si>
    <t>turn days into years</t>
  </si>
  <si>
    <t>net carry rate for pricing</t>
  </si>
  <si>
    <t>repo rate - CTD yield</t>
  </si>
  <si>
    <t>financing cost minus bond yield</t>
  </si>
  <si>
    <t>SERT net carry factor</t>
  </si>
  <si>
    <t>EXP(net carry * T)</t>
  </si>
  <si>
    <t>continuous compounding using net carry</t>
  </si>
  <si>
    <t>implied next contract futures price</t>
  </si>
  <si>
    <t>front * carry factor</t>
  </si>
  <si>
    <t>next/back contract fair value</t>
  </si>
  <si>
    <t>fair value calendar spread</t>
  </si>
  <si>
    <t>implied next price - front</t>
  </si>
  <si>
    <t>implied next price minus front price</t>
  </si>
  <si>
    <t>fair value spread in ticks</t>
  </si>
  <si>
    <t>spread / tick size</t>
  </si>
  <si>
    <t>convert price points into ticks</t>
  </si>
  <si>
    <t>check: front + spread</t>
  </si>
  <si>
    <t>front + fair spread</t>
  </si>
  <si>
    <t>should equal implied next price</t>
  </si>
  <si>
    <t>OUTPUT</t>
  </si>
  <si>
    <t>unit</t>
  </si>
  <si>
    <t>points</t>
  </si>
  <si>
    <t>spread in ticks</t>
  </si>
  <si>
    <t>ticks</t>
  </si>
  <si>
    <t>years</t>
  </si>
  <si>
    <t>decimal rate</t>
  </si>
  <si>
    <t>carry earned view</t>
  </si>
  <si>
    <t>carry factor</t>
  </si>
  <si>
    <t>x</t>
  </si>
  <si>
    <t>what this is / what this is not</t>
  </si>
  <si>
    <t>This extends the earlier CTD / basis / hedge-ratio / butterfly sheets into a simple calendar-spread fair-value sheet.</t>
  </si>
  <si>
    <t>It intentionally stays plain: formulas first, UI later.</t>
  </si>
  <si>
    <t>It now uses CTD yield because Treasury futures calendars are about net carry, not just raw repo.</t>
  </si>
  <si>
    <t>Pricing net carry is repo minus CTD yield. The carry-earned view is CTD yield minus repo.</t>
  </si>
  <si>
    <t>It still ignores CTD switches, conversion factors, delivery optionality, repo specials, and liquidity stress.</t>
  </si>
  <si>
    <t># student-cme-ust-calendar-calculator</t>
  </si>
  <si>
    <t>A simple student project for estimating the theoretical fair value of CME U.S. Treasury futures calendar spreads.</t>
  </si>
  <si>
    <t>Core idea: a Treasury futures calendar spread can be approximated using net carry.</t>
  </si>
  <si>
    <t>Simplified formula: F2 = F1 × e^((repo rate - CTD yield) × t)</t>
  </si>
  <si>
    <t>Inputs: front futures price, repo / financing rate, CTD yield, days between contracts, day count basis, and tick size.</t>
  </si>
  <si>
    <t>Outputs: implied next contract futures price, fair value calendar spread, spread in ticks, time fraction, net carry, and carry factor.</t>
  </si>
  <si>
    <t>Important distinction: for pricing, net carry is repo minus CTD yield. For carry-earned intuition, the sheet also shows CTD yield minus repo.</t>
  </si>
  <si>
    <t>This is not a professional pricing system. It does not model CTD switches, conversion factors, coupon details, delivery optionality, repo specials, liquidity stress, volatility premia, or balance sheet constraints.</t>
  </si>
  <si>
    <t>This continues the earlier student projects on CTD, basis, hedge ratios, and Treasury butterflies. The goal is concepts made easy: isolate one mechanism, understand it, then layer complexity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</si>
</sst>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%"/>
    <numFmt numFmtId="166" formatCode="0.000000"/>
  </numFmts>
  <fonts count="5">
    <font>
      <sz val="11"/>
      <name val="Carlito"/>
    </font>
    <font>
      <b/>
      <sz val="11"/>
      <color rgb="FFFFFFFF"/>
      <name val="Carlito"/>
    </font>
    <font>
      <b/>
      <sz val="14"/>
      <name val="Carlito"/>
    </font>
    <font>
      <i/>
      <sz val="1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164" fontId="0" fillId="3" borderId="0" xfId="0" applyNumberFormat="1" applyFill="1" applyAlignment="1">
      <alignment wrapText="1"/>
    </xf>
    <xf numFmtId="165" fontId="0" fillId="3" borderId="0" xfId="0" applyNumberFormat="1" applyFill="1" applyAlignment="1">
      <alignment wrapText="1"/>
    </xf>
    <xf numFmtId="1" fontId="0" fillId="3" borderId="0" xfId="0" applyNumberFormat="1" applyFill="1" applyAlignment="1">
      <alignment wrapText="1"/>
    </xf>
    <xf numFmtId="166" fontId="0" fillId="3" borderId="0" xfId="0" applyNumberFormat="1" applyFill="1" applyAlignment="1">
      <alignment wrapText="1"/>
    </xf>
    <xf numFmtId="164" fontId="0" fillId="4" borderId="0" xfId="0" applyNumberFormat="1" applyFill="1" applyAlignment="1">
      <alignment wrapText="1"/>
    </xf>
    <xf numFmtId="166" fontId="0" fillId="4" borderId="0" xfId="0" applyNumberFormat="1" applyFill="1" applyAlignment="1">
      <alignment wrapText="1"/>
    </xf>
    <xf numFmtId="165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Normal="100" zoomScaleSheetLayoutView="100" workbookViewId="0"/>
  </sheetViews>
  <sheetFormatPr defaultRowHeight="15"/>
  <cols>
    <col min="1" max="1" width="46.5" customWidth="1"/>
    <col min="2" max="2" width="24" customWidth="1"/>
    <col min="3" max="3" width="34" customWidth="1"/>
    <col min="4" max="4" width="42" customWidth="1"/>
  </cols>
  <sheetData>
    <row r="1" spans="1:4" ht="33.75" customHeight="1">
      <c r="A1" s="1" t="s">
        <v>0</v>
      </c>
      <c r="B1" s="2"/>
      <c r="C1" s="2"/>
      <c r="D1" s="2"/>
    </row>
    <row r="2" spans="1:4" ht="37.5" customHeight="1">
      <c r="A2" s="3" t="s">
        <v>1</v>
      </c>
      <c r="B2" s="2"/>
      <c r="C2" s="2"/>
      <c r="D2" s="2"/>
    </row>
    <row r="3" spans="1:4">
      <c r="A3" s="2"/>
      <c r="B3" s="2"/>
      <c r="C3" s="2"/>
      <c r="D3" s="2"/>
    </row>
    <row r="4" spans="1:4">
      <c r="A4" s="4" t="s">
        <v>2</v>
      </c>
      <c r="B4" s="4"/>
      <c r="C4" s="4" t="s">
        <v>3</v>
      </c>
      <c r="D4" s="4"/>
    </row>
    <row r="5" spans="1:4" ht="33.75">
      <c r="A5" s="5" t="s">
        <v>4</v>
      </c>
      <c r="B5" s="9">
        <v>107.78125</v>
      </c>
      <c r="C5" s="2" t="s">
        <v>5</v>
      </c>
      <c r="D5" s="2"/>
    </row>
    <row r="6" spans="1:4" ht="27.75" customHeight="1">
      <c r="A6" s="5" t="s">
        <v>6</v>
      </c>
      <c r="B6" s="10">
        <v>4.5999999999999999E-2</v>
      </c>
      <c r="C6" s="2" t="s">
        <v>7</v>
      </c>
      <c r="D6" s="2"/>
    </row>
    <row r="7" spans="1:4" ht="33.75">
      <c r="A7" s="5" t="s">
        <v>8</v>
      </c>
      <c r="B7" s="10">
        <v>4.0800000000000003E-2</v>
      </c>
      <c r="C7" s="2" t="s">
        <v>9</v>
      </c>
      <c r="D7" s="2"/>
    </row>
    <row r="8" spans="1:4" ht="27.75" customHeight="1">
      <c r="A8" s="5" t="s">
        <v>10</v>
      </c>
      <c r="B8" s="11">
        <v>91</v>
      </c>
      <c r="C8" s="2" t="s">
        <v>11</v>
      </c>
      <c r="D8" s="2"/>
    </row>
    <row r="9" spans="1:4" ht="25.5" customHeight="1">
      <c r="A9" s="5" t="s">
        <v>12</v>
      </c>
      <c r="B9" s="11">
        <v>360</v>
      </c>
      <c r="C9" s="2" t="s">
        <v>13</v>
      </c>
      <c r="D9" s="2"/>
    </row>
    <row r="10" spans="1:4" ht="27" customHeight="1">
      <c r="A10" s="5" t="s">
        <v>14</v>
      </c>
      <c r="B10" s="12">
        <v>1.5625E-2</v>
      </c>
      <c r="C10" s="2" t="s">
        <v>15</v>
      </c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4" t="s">
        <v>16</v>
      </c>
      <c r="B13" s="4" t="s">
        <v>17</v>
      </c>
      <c r="C13" s="4" t="s">
        <v>18</v>
      </c>
      <c r="D13" s="4" t="s">
        <v>19</v>
      </c>
    </row>
    <row r="14" spans="1:4">
      <c r="A14" s="5" t="s">
        <v>20</v>
      </c>
      <c r="B14" s="2" t="s">
        <v>21</v>
      </c>
      <c r="C14" s="8">
        <f>B8/B9</f>
        <v>0.25277777777777777</v>
      </c>
      <c r="D14" s="2" t="s">
        <v>22</v>
      </c>
    </row>
    <row r="15" spans="1:4">
      <c r="A15" s="5" t="s">
        <v>23</v>
      </c>
      <c r="B15" s="2" t="s">
        <v>24</v>
      </c>
      <c r="C15" s="7">
        <f>B6-B7</f>
        <v>5.1999999999999963E-3</v>
      </c>
      <c r="D15" s="2" t="s">
        <v>25</v>
      </c>
    </row>
    <row r="16" spans="1:4">
      <c r="A16" s="5" t="s">
        <v>26</v>
      </c>
      <c r="B16" s="2" t="s">
        <v>27</v>
      </c>
      <c r="C16" s="8">
        <f>EXP(C15*C14)</f>
        <v>1.001315308705176</v>
      </c>
      <c r="D16" s="2" t="s">
        <v>28</v>
      </c>
    </row>
    <row r="17" spans="1:4">
      <c r="A17" s="5" t="s">
        <v>29</v>
      </c>
      <c r="B17" s="2" t="s">
        <v>30</v>
      </c>
      <c r="C17" s="6">
        <f>B5*C16</f>
        <v>107.92301561637976</v>
      </c>
      <c r="D17" s="2" t="s">
        <v>31</v>
      </c>
    </row>
    <row r="18" spans="1:4">
      <c r="A18" s="5" t="s">
        <v>32</v>
      </c>
      <c r="B18" s="2" t="s">
        <v>33</v>
      </c>
      <c r="C18" s="6">
        <f>C17-B5</f>
        <v>0.14176561637975738</v>
      </c>
      <c r="D18" s="2" t="s">
        <v>34</v>
      </c>
    </row>
    <row r="19" spans="1:4">
      <c r="A19" s="5" t="s">
        <v>35</v>
      </c>
      <c r="B19" s="2" t="s">
        <v>36</v>
      </c>
      <c r="C19" s="6">
        <f>C18/B10</f>
        <v>9.072999448304472</v>
      </c>
      <c r="D19" s="2" t="s">
        <v>37</v>
      </c>
    </row>
    <row r="20" spans="1:4">
      <c r="A20" s="5" t="s">
        <v>38</v>
      </c>
      <c r="B20" s="2" t="s">
        <v>39</v>
      </c>
      <c r="C20" s="6">
        <f>B5+C18</f>
        <v>107.92301561637976</v>
      </c>
      <c r="D20" s="2" t="s">
        <v>40</v>
      </c>
    </row>
    <row r="21" spans="1:4">
      <c r="A21" s="2"/>
      <c r="B21" s="2"/>
      <c r="C21" s="2"/>
      <c r="D21" s="2"/>
    </row>
    <row r="22" spans="1:4">
      <c r="A22" s="4" t="s">
        <v>41</v>
      </c>
      <c r="B22" s="4" t="s">
        <v>18</v>
      </c>
      <c r="C22" s="4" t="s">
        <v>42</v>
      </c>
      <c r="D22" s="4"/>
    </row>
    <row r="23" spans="1:4" ht="27.75" customHeight="1">
      <c r="A23" s="5" t="s">
        <v>29</v>
      </c>
      <c r="B23" s="13">
        <f>C17</f>
        <v>107.92301561637976</v>
      </c>
      <c r="C23" s="2" t="s">
        <v>43</v>
      </c>
      <c r="D23" s="2"/>
    </row>
    <row r="24" spans="1:4" ht="27.75" customHeight="1">
      <c r="A24" s="5" t="s">
        <v>32</v>
      </c>
      <c r="B24" s="13">
        <f>C18</f>
        <v>0.14176561637975738</v>
      </c>
      <c r="C24" s="2" t="s">
        <v>43</v>
      </c>
      <c r="D24" s="2"/>
    </row>
    <row r="25" spans="1:4" ht="27.75" customHeight="1">
      <c r="A25" s="5" t="s">
        <v>44</v>
      </c>
      <c r="B25" s="13">
        <f>C19</f>
        <v>9.072999448304472</v>
      </c>
      <c r="C25" s="2" t="s">
        <v>45</v>
      </c>
      <c r="D25" s="2"/>
    </row>
    <row r="26" spans="1:4" ht="29.25" customHeight="1">
      <c r="A26" s="5" t="s">
        <v>20</v>
      </c>
      <c r="B26" s="14">
        <f>C14</f>
        <v>0.25277777777777777</v>
      </c>
      <c r="C26" s="2" t="s">
        <v>46</v>
      </c>
      <c r="D26" s="2"/>
    </row>
    <row r="27" spans="1:4" ht="24" customHeight="1">
      <c r="A27" s="5" t="s">
        <v>23</v>
      </c>
      <c r="B27" s="15">
        <f>C15</f>
        <v>5.1999999999999963E-3</v>
      </c>
      <c r="C27" s="2" t="s">
        <v>47</v>
      </c>
      <c r="D27" s="2"/>
    </row>
    <row r="28" spans="1:4" ht="27.75" customHeight="1">
      <c r="A28" s="5" t="s">
        <v>48</v>
      </c>
      <c r="B28" s="15">
        <f>B7-B6</f>
        <v>-5.1999999999999963E-3</v>
      </c>
      <c r="C28" s="2" t="s">
        <v>47</v>
      </c>
      <c r="D28" s="2"/>
    </row>
    <row r="29" spans="1:4" ht="27" customHeight="1">
      <c r="A29" s="5" t="s">
        <v>49</v>
      </c>
      <c r="B29" s="14">
        <f>C16</f>
        <v>1.001315308705176</v>
      </c>
      <c r="C29" s="2" t="s">
        <v>50</v>
      </c>
      <c r="D29" s="2"/>
    </row>
    <row r="30" spans="1:4" ht="28.5" customHeight="1">
      <c r="A30" s="5" t="s">
        <v>38</v>
      </c>
      <c r="B30" s="13">
        <f>C20</f>
        <v>107.92301561637976</v>
      </c>
      <c r="C30" s="2" t="s">
        <v>43</v>
      </c>
      <c r="D30" s="2"/>
    </row>
    <row r="31" spans="1:4">
      <c r="A31" s="2"/>
      <c r="B31" s="2"/>
      <c r="C31" s="2"/>
      <c r="D31" s="2"/>
    </row>
    <row r="32" spans="1:4">
      <c r="A32" s="4" t="s">
        <v>51</v>
      </c>
      <c r="B32" s="4"/>
      <c r="C32" s="4"/>
      <c r="D32" s="4"/>
    </row>
    <row r="33" spans="1:4">
      <c r="A33" s="2" t="s">
        <v>52</v>
      </c>
      <c r="B33" s="2"/>
      <c r="C33" s="2"/>
      <c r="D33" s="2"/>
    </row>
    <row r="34" spans="1:4">
      <c r="A34" s="2" t="s">
        <v>53</v>
      </c>
      <c r="B34" s="2"/>
      <c r="C34" s="2"/>
      <c r="D34" s="2"/>
    </row>
    <row r="35" spans="1:4">
      <c r="A35" s="2" t="s">
        <v>54</v>
      </c>
      <c r="B35" s="2"/>
      <c r="C35" s="2"/>
      <c r="D35" s="2"/>
    </row>
    <row r="36" spans="1:4">
      <c r="A36" s="2" t="s">
        <v>55</v>
      </c>
      <c r="B36" s="2"/>
      <c r="C36" s="2"/>
      <c r="D36" s="2"/>
    </row>
    <row r="37" spans="1:4">
      <c r="A37" s="2" t="s">
        <v>56</v>
      </c>
      <c r="B37" s="2"/>
      <c r="C37" s="2"/>
      <c r="D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"/>
  <sheetViews>
    <sheetView zoomScaleNormal="100" zoomScaleSheetLayoutView="100" workbookViewId="0"/>
  </sheetViews>
  <sheetFormatPr defaultRowHeight="15"/>
  <cols>
    <col min="1" max="1" width="110" customWidth="1"/>
  </cols>
  <sheetData>
    <row r="1" spans="1:1">
      <c r="A1" s="1" t="s">
        <v>57</v>
      </c>
    </row>
    <row r="2" spans="1:1">
      <c r="A2" s="2"/>
    </row>
    <row r="3" spans="1:1">
      <c r="A3" s="2" t="s">
        <v>58</v>
      </c>
    </row>
    <row r="4" spans="1:1">
      <c r="A4" s="2"/>
    </row>
    <row r="5" spans="1:1">
      <c r="A5" s="2" t="s">
        <v>59</v>
      </c>
    </row>
    <row r="6" spans="1:1">
      <c r="A6" s="2"/>
    </row>
    <row r="7" spans="1:1">
      <c r="A7" s="2" t="s">
        <v>60</v>
      </c>
    </row>
    <row r="8" spans="1:1">
      <c r="A8" s="2"/>
    </row>
    <row r="9" spans="1:1">
      <c r="A9" s="2" t="s">
        <v>61</v>
      </c>
    </row>
    <row r="10" spans="1:1">
      <c r="A10" s="2"/>
    </row>
    <row r="11" spans="1:1">
      <c r="A11" s="2" t="s">
        <v>62</v>
      </c>
    </row>
    <row r="12" spans="1:1">
      <c r="A12" s="2"/>
    </row>
    <row r="13" spans="1:1">
      <c r="A13" s="2" t="s">
        <v>63</v>
      </c>
    </row>
    <row r="14" spans="1:1">
      <c r="A14" s="2"/>
    </row>
    <row r="15" spans="1:1">
      <c r="A15" s="2" t="s">
        <v>64</v>
      </c>
    </row>
    <row r="16" spans="1:1">
      <c r="A16" s="2"/>
    </row>
    <row r="17" spans="1:1">
      <c r="A17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2026-05-25T15:54:25Z</dcterms:created>
  <dcterms:modified xsi:type="dcterms:W3CDTF">2026-05-25T15:54:25Z</dcterms:modified>
  <cp:category/>
  <cp:contentStatus/>
</cp:coreProperties>
</file>